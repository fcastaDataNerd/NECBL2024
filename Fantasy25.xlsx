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f237e831f26750/Documents/"/>
    </mc:Choice>
  </mc:AlternateContent>
  <xr:revisionPtr revIDLastSave="689" documentId="8_{88CC661F-CCD9-4A51-8266-56BBE17AA9E6}" xr6:coauthVersionLast="47" xr6:coauthVersionMax="47" xr10:uidLastSave="{20480BBB-875B-4DD4-B39B-965F241B4DEE}"/>
  <bookViews>
    <workbookView xWindow="-110" yWindow="-110" windowWidth="19420" windowHeight="11500" xr2:uid="{A29E1835-958C-4353-954C-D756CD020572}"/>
  </bookViews>
  <sheets>
    <sheet name="Stats" sheetId="1" r:id="rId1"/>
    <sheet name="Schedule" sheetId="2" r:id="rId2"/>
    <sheet name="Poi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K13" i="1"/>
  <c r="J13" i="1"/>
  <c r="L12" i="1"/>
  <c r="J12" i="1"/>
  <c r="K12" i="1"/>
  <c r="L11" i="1"/>
  <c r="K11" i="1"/>
  <c r="J11" i="1"/>
  <c r="L10" i="1"/>
  <c r="K10" i="1"/>
  <c r="J10" i="1"/>
  <c r="L9" i="1"/>
  <c r="K9" i="1"/>
  <c r="J9" i="1"/>
  <c r="L8" i="1"/>
  <c r="K8" i="1"/>
  <c r="J8" i="1"/>
  <c r="K7" i="1"/>
  <c r="L7" i="1"/>
  <c r="J7" i="1"/>
  <c r="L6" i="1"/>
  <c r="K6" i="1"/>
  <c r="J6" i="1"/>
  <c r="L5" i="1"/>
  <c r="K5" i="1"/>
  <c r="J5" i="1"/>
  <c r="L4" i="1"/>
  <c r="K4" i="1"/>
  <c r="J4" i="1"/>
  <c r="L3" i="1"/>
  <c r="K3" i="1"/>
  <c r="J3" i="1"/>
  <c r="L2" i="1"/>
  <c r="K2" i="1"/>
  <c r="J2" i="1"/>
  <c r="I9" i="1"/>
  <c r="I3" i="1"/>
  <c r="I10" i="1"/>
  <c r="I13" i="1"/>
  <c r="I12" i="1"/>
  <c r="I8" i="1"/>
  <c r="I4" i="1"/>
  <c r="I5" i="1"/>
  <c r="I7" i="1"/>
  <c r="I2" i="1"/>
  <c r="H5" i="1"/>
  <c r="G10" i="1"/>
  <c r="G4" i="1"/>
  <c r="E3" i="1"/>
  <c r="E4" i="1"/>
  <c r="E5" i="1"/>
  <c r="E6" i="1"/>
  <c r="E7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<sst xmlns="http://schemas.openxmlformats.org/spreadsheetml/2006/main" count="64" uniqueCount="28">
  <si>
    <t>Team</t>
  </si>
  <si>
    <t>Driscoll</t>
  </si>
  <si>
    <t>Williams</t>
  </si>
  <si>
    <t>Sawyer</t>
  </si>
  <si>
    <t>Zorn</t>
  </si>
  <si>
    <t>Casta</t>
  </si>
  <si>
    <t>Andre</t>
  </si>
  <si>
    <t>Vagmi</t>
  </si>
  <si>
    <t>Beloff</t>
  </si>
  <si>
    <t>Croteau</t>
  </si>
  <si>
    <t>Pletter</t>
  </si>
  <si>
    <t>Alperin</t>
  </si>
  <si>
    <t>Mehar</t>
  </si>
  <si>
    <t>Wins</t>
  </si>
  <si>
    <t>TeamRank</t>
  </si>
  <si>
    <t>Week</t>
  </si>
  <si>
    <t>Team1</t>
  </si>
  <si>
    <t>Team2</t>
  </si>
  <si>
    <t>Points</t>
  </si>
  <si>
    <t>GP</t>
  </si>
  <si>
    <t>MeanPF</t>
  </si>
  <si>
    <t>PF</t>
  </si>
  <si>
    <t>Week 12</t>
  </si>
  <si>
    <t>Week 13</t>
  </si>
  <si>
    <t>Week 14</t>
  </si>
  <si>
    <t>R1</t>
  </si>
  <si>
    <t>R2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</si>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</sst>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F2BD-4668-4F2E-A784-0621D0D0FED9}">
  <dimension ref="A1:L13"/>
  <sheetViews>
    <sheetView tabSelected="1" workbookViewId="0">
      <selection activeCell="L14" sqref="L14"/>
    </sheetView>
  </sheetViews>
  <sheetFormatPr defaultRowHeight="14.5" x14ac:dyDescent="0.35"/>
  <cols>
    <col min="1" max="1" width="8.90625" customWidth="1"/>
    <col min="6" max="6" width="9.26953125" bestFit="1" customWidth="1"/>
  </cols>
  <sheetData>
    <row r="1" spans="1:12" x14ac:dyDescent="0.35">
      <c r="A1" t="s">
        <v>0</v>
      </c>
      <c r="B1" t="s">
        <v>13</v>
      </c>
      <c r="C1" t="s">
        <v>21</v>
      </c>
      <c r="D1" t="s">
        <v>19</v>
      </c>
      <c r="E1" t="s">
        <v>20</v>
      </c>
      <c r="F1" t="s">
        <v>14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</row>
    <row r="2" spans="1:12" x14ac:dyDescent="0.35">
      <c r="A2" t="s">
        <v>1</v>
      </c>
      <c r="B2">
        <v>10</v>
      </c>
      <c r="C2">
        <v>1713.2</v>
      </c>
      <c r="D2">
        <v>11</v>
      </c>
      <c r="E2">
        <f>C2/D2</f>
        <v>155.74545454545455</v>
      </c>
      <c r="F2">
        <v>10</v>
      </c>
      <c r="G2">
        <v>153.13999999999999</v>
      </c>
      <c r="H2">
        <v>145.41999999999999</v>
      </c>
      <c r="I2">
        <f>109.95+18.1+8</f>
        <v>136.05000000000001</v>
      </c>
      <c r="J2">
        <f>19.56+16.38+27.72+22.25+10.43+17.93+19.88+6.5+13.07</f>
        <v>153.72</v>
      </c>
      <c r="K2">
        <f>18.11+21.22+24.51+13.88+21.34+9.87+19.15+19.06+6+8.29</f>
        <v>161.43</v>
      </c>
      <c r="L2">
        <f>22.81+19.99+27.65+15.19+21.36+12.01+16.63+19.69+8.64+6</f>
        <v>169.96999999999997</v>
      </c>
    </row>
    <row r="3" spans="1:12" x14ac:dyDescent="0.35">
      <c r="A3" t="s">
        <v>2</v>
      </c>
      <c r="B3">
        <v>8</v>
      </c>
      <c r="C3">
        <v>1431.14</v>
      </c>
      <c r="D3">
        <v>11</v>
      </c>
      <c r="E3">
        <f t="shared" ref="E3:E13" si="0">C3/D3</f>
        <v>130.10363636363638</v>
      </c>
      <c r="F3">
        <v>7.3</v>
      </c>
      <c r="G3">
        <v>132.05000000000001</v>
      </c>
      <c r="H3">
        <v>134</v>
      </c>
      <c r="I3">
        <f>123.37+12</f>
        <v>135.37</v>
      </c>
      <c r="J3">
        <f>15+16.88+13.05+13.85+17.45+12.96+13.23+15.82+7+8.23</f>
        <v>133.47</v>
      </c>
      <c r="K3">
        <f>13.32+12.58+17.99+14.49+16.64+14.57+15.49+15.81+6+8.24</f>
        <v>135.13</v>
      </c>
      <c r="L3">
        <f>14.85+16.91+18.02+14.04+19.9+13.27+14.16+18.14+7.37+8</f>
        <v>144.66</v>
      </c>
    </row>
    <row r="4" spans="1:12" x14ac:dyDescent="0.35">
      <c r="A4" t="s">
        <v>3</v>
      </c>
      <c r="B4">
        <v>5</v>
      </c>
      <c r="C4">
        <v>1342.96</v>
      </c>
      <c r="D4">
        <v>11</v>
      </c>
      <c r="E4">
        <f t="shared" si="0"/>
        <v>122.08727272727273</v>
      </c>
      <c r="F4">
        <v>5.7</v>
      </c>
      <c r="G4">
        <f>113.7+15.56</f>
        <v>129.26</v>
      </c>
      <c r="H4">
        <v>131.26</v>
      </c>
      <c r="I4">
        <f>111.99+7+15</f>
        <v>133.99</v>
      </c>
      <c r="J4">
        <f>24.34+16.43+15.25+13.46+12.09+11.31+10.58+15.46+6.36+8.93</f>
        <v>134.20999999999998</v>
      </c>
      <c r="K4">
        <f>20.1+17.99+14.69+15.34+11.84+10.23+10.17+15.74+6+8.59</f>
        <v>130.69</v>
      </c>
      <c r="L4">
        <f>19.51+18+15.6+13.82+13.14+10.09+9.41+13.87+6+8.93</f>
        <v>128.37</v>
      </c>
    </row>
    <row r="5" spans="1:12" x14ac:dyDescent="0.35">
      <c r="A5" t="s">
        <v>4</v>
      </c>
      <c r="B5">
        <v>7</v>
      </c>
      <c r="C5">
        <v>1392.8</v>
      </c>
      <c r="D5">
        <v>11</v>
      </c>
      <c r="E5">
        <f t="shared" si="0"/>
        <v>126.61818181818181</v>
      </c>
      <c r="F5">
        <v>5.8</v>
      </c>
      <c r="G5">
        <v>118.15</v>
      </c>
      <c r="H5">
        <f>113.39+21-7.5+3</f>
        <v>129.88999999999999</v>
      </c>
      <c r="I5">
        <f>90.03+20+8+3+4</f>
        <v>125.03</v>
      </c>
      <c r="J5">
        <f>17.94+22.75+11.66+19.63+12.95+8.57+11.06+12.37+6+9.26</f>
        <v>132.19</v>
      </c>
      <c r="K5">
        <f>16.9+28.95+15.3+18.82+11.9+8.63+11.13+11.13+7.4+8.79</f>
        <v>138.94999999999999</v>
      </c>
      <c r="L5">
        <f>16.78+25.03+16.65+20.69+11.81+8.88+9.14+12.05+7.87+9.17</f>
        <v>138.07</v>
      </c>
    </row>
    <row r="6" spans="1:12" x14ac:dyDescent="0.35">
      <c r="A6" t="s">
        <v>5</v>
      </c>
      <c r="B6">
        <v>6</v>
      </c>
      <c r="C6">
        <v>1290.82</v>
      </c>
      <c r="D6">
        <v>11</v>
      </c>
      <c r="E6">
        <f t="shared" si="0"/>
        <v>117.34727272727272</v>
      </c>
      <c r="F6">
        <v>5</v>
      </c>
      <c r="G6">
        <v>126.7</v>
      </c>
      <c r="H6">
        <v>125.95</v>
      </c>
      <c r="I6">
        <v>120</v>
      </c>
      <c r="J6">
        <f>20.29+13.39+13.42+14.58+13.47+10.15+12.73+13.19+6+8.73</f>
        <v>125.95000000000002</v>
      </c>
      <c r="K6">
        <f>23.83+14.07+15.75+17.15+13.77+11.9+12.79+12.51+6+8.72</f>
        <v>136.49</v>
      </c>
      <c r="L6">
        <f>21.06+13.57+12.86+15.56+14.04+10.83+10.36+12.06+6+8.45</f>
        <v>124.79</v>
      </c>
    </row>
    <row r="7" spans="1:12" x14ac:dyDescent="0.35">
      <c r="A7" t="s">
        <v>6</v>
      </c>
      <c r="B7">
        <v>7</v>
      </c>
      <c r="C7">
        <v>1501.62</v>
      </c>
      <c r="D7">
        <v>11</v>
      </c>
      <c r="E7">
        <f t="shared" si="0"/>
        <v>136.51090909090908</v>
      </c>
      <c r="F7">
        <v>7.7</v>
      </c>
      <c r="G7">
        <v>145</v>
      </c>
      <c r="H7">
        <v>150.44999999999999</v>
      </c>
      <c r="I7">
        <f>124.59+17</f>
        <v>141.59</v>
      </c>
      <c r="J7">
        <f>22.68+9.34+19.9+15.05+19.23+16.26+11.85+11.91+5.63+9.2</f>
        <v>141.04999999999998</v>
      </c>
      <c r="K7">
        <f>20.8+10.68+24.06+18.3+13.73+18.82+11.12+9.2+7.54+8.65</f>
        <v>142.90000000000003</v>
      </c>
      <c r="L7">
        <f>21.36+10.58+22.53+22.09+13.57+20.3+12.55+10+5.78+8.53</f>
        <v>147.29</v>
      </c>
    </row>
    <row r="8" spans="1:12" x14ac:dyDescent="0.35">
      <c r="A8" t="s">
        <v>7</v>
      </c>
      <c r="B8">
        <v>5</v>
      </c>
      <c r="C8">
        <v>1453.42</v>
      </c>
      <c r="D8">
        <v>11</v>
      </c>
      <c r="E8">
        <f t="shared" si="0"/>
        <v>132.12909090909091</v>
      </c>
      <c r="F8">
        <v>7</v>
      </c>
      <c r="G8">
        <v>120.82</v>
      </c>
      <c r="H8">
        <v>125.79</v>
      </c>
      <c r="I8">
        <f>110.54+13+7</f>
        <v>130.54000000000002</v>
      </c>
      <c r="J8">
        <f>19.89+15.93+18.3+16.32+12.63+8.26+19.08+12.16+6+8</f>
        <v>136.57</v>
      </c>
      <c r="K8">
        <f>21.76+18.13+16.71+17.72+12.14+8.09+18.16+10.88+6+8</f>
        <v>137.58999999999997</v>
      </c>
      <c r="L8">
        <f>18.21+16.24+17.45+16.05+12.53+8.31+17.95+12.56+7.14+8</f>
        <v>134.44</v>
      </c>
    </row>
    <row r="9" spans="1:12" x14ac:dyDescent="0.35">
      <c r="A9" t="s">
        <v>8</v>
      </c>
      <c r="B9">
        <v>5</v>
      </c>
      <c r="C9">
        <v>1338.24</v>
      </c>
      <c r="D9">
        <v>11</v>
      </c>
      <c r="E9">
        <f t="shared" si="0"/>
        <v>121.65818181818182</v>
      </c>
      <c r="F9">
        <v>4.4000000000000004</v>
      </c>
      <c r="G9">
        <v>113.42</v>
      </c>
      <c r="H9">
        <v>119.62</v>
      </c>
      <c r="I9">
        <f>93.3+6</f>
        <v>99.3</v>
      </c>
      <c r="J9">
        <f>13.91+11.13+15.52+10.05+15.71+10.78+9.86+14.03+5.29+8.72</f>
        <v>115</v>
      </c>
      <c r="K9">
        <f>18.99+10.52+12.89+11.41+13.55+11.76+10.67+16.24+6+8.42</f>
        <v>120.45</v>
      </c>
      <c r="L9">
        <f>21.22+10.68+13.76+10.58+13.43+10.74+9.01+15.21+7.08+8.22</f>
        <v>119.92999999999999</v>
      </c>
    </row>
    <row r="10" spans="1:12" x14ac:dyDescent="0.35">
      <c r="A10" t="s">
        <v>9</v>
      </c>
      <c r="B10">
        <v>4</v>
      </c>
      <c r="C10">
        <v>1496.84</v>
      </c>
      <c r="D10">
        <v>11</v>
      </c>
      <c r="E10">
        <f t="shared" si="0"/>
        <v>136.07636363636362</v>
      </c>
      <c r="F10">
        <v>8.1</v>
      </c>
      <c r="G10">
        <f>105.8+24</f>
        <v>129.80000000000001</v>
      </c>
      <c r="H10">
        <v>144.37</v>
      </c>
      <c r="I10">
        <f>126.03+8</f>
        <v>134.03</v>
      </c>
      <c r="J10">
        <f>18.49+19.12+12.77+21.12+19.08+15.21+12.83+14.06+6+8.33</f>
        <v>147.01</v>
      </c>
      <c r="K10">
        <f>20.01+15.02+13.07+22.05+18.07+15.75+11.7+14.1+6+8.88</f>
        <v>144.65</v>
      </c>
      <c r="L10">
        <f>19.24+14.41+13.67+21.34+17.06+15.89+12.51+11.52+6.51+8.35</f>
        <v>140.5</v>
      </c>
    </row>
    <row r="11" spans="1:12" x14ac:dyDescent="0.35">
      <c r="A11" t="s">
        <v>10</v>
      </c>
      <c r="B11">
        <v>4</v>
      </c>
      <c r="C11">
        <v>1413.86</v>
      </c>
      <c r="D11">
        <v>11</v>
      </c>
      <c r="E11">
        <f t="shared" si="0"/>
        <v>128.53272727272727</v>
      </c>
      <c r="F11">
        <v>7.7</v>
      </c>
      <c r="G11">
        <v>138.44999999999999</v>
      </c>
      <c r="H11">
        <v>138.63999999999999</v>
      </c>
      <c r="I11">
        <v>140.26</v>
      </c>
      <c r="J11">
        <f>25.39+14.85+22.05+16.01+12.55+10.82+14.85+13.44+5.25+8.68</f>
        <v>143.89000000000001</v>
      </c>
      <c r="K11">
        <f>20.85+15.68+21.87+15.74+12.75+10.27+14.19+15.81+6+7.84</f>
        <v>141</v>
      </c>
      <c r="L11">
        <f>20.94+15.53+19.72+15.12+12.07+10.18+16.53+17.16+5.46+8.21</f>
        <v>140.92000000000002</v>
      </c>
    </row>
    <row r="12" spans="1:12" x14ac:dyDescent="0.35">
      <c r="A12" t="s">
        <v>11</v>
      </c>
      <c r="B12">
        <v>2</v>
      </c>
      <c r="C12">
        <v>1314.5</v>
      </c>
      <c r="D12">
        <v>11</v>
      </c>
      <c r="E12">
        <f t="shared" si="0"/>
        <v>119.5</v>
      </c>
      <c r="F12">
        <v>5.3</v>
      </c>
      <c r="G12">
        <v>125.92</v>
      </c>
      <c r="H12">
        <v>121.7</v>
      </c>
      <c r="I12">
        <f>102.47+8+10</f>
        <v>120.47</v>
      </c>
      <c r="J12">
        <f>17.7+14.43+13.7+15.88+13.03+8.92+14.45+15.55+7.92+9.38</f>
        <v>130.96</v>
      </c>
      <c r="K12">
        <f>16.11+12.11+12.66+15.18+12.34+8.41+15.53+16.25+9.51+9.23</f>
        <v>127.33</v>
      </c>
      <c r="L12">
        <f>19.56+12+15.31+16.84+11.62+7.91+13.58+13.76+8.05+9.56</f>
        <v>128.19</v>
      </c>
    </row>
    <row r="13" spans="1:12" x14ac:dyDescent="0.35">
      <c r="A13" t="s">
        <v>12</v>
      </c>
      <c r="B13">
        <v>3</v>
      </c>
      <c r="C13">
        <v>1237.44</v>
      </c>
      <c r="D13">
        <v>11</v>
      </c>
      <c r="E13">
        <f t="shared" si="0"/>
        <v>112.49454545454546</v>
      </c>
      <c r="F13">
        <v>5.6</v>
      </c>
      <c r="G13">
        <v>131.38</v>
      </c>
      <c r="H13">
        <v>125.07</v>
      </c>
      <c r="I13">
        <f>108.84+10</f>
        <v>118.84</v>
      </c>
      <c r="J13">
        <f>17.45+14.5+13.56+15+16.47+8+15.55+10.8+5.99+8.75</f>
        <v>126.06999999999998</v>
      </c>
      <c r="K13">
        <f>21.57+11.06+13.27+14.7+16.14+8+15.07+10.47+5.48+8.55</f>
        <v>124.31</v>
      </c>
      <c r="L13">
        <f>19.21+12.35+12.27+15.06+16.85+8+14.84+11.68+6+8.52</f>
        <v>124.78000000000002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DA19-316A-4B7A-8D76-D502CD1189E8}">
  <dimension ref="A1:C19"/>
  <sheetViews>
    <sheetView workbookViewId="0">
      <selection activeCell="B8" sqref="A1:C19"/>
    </sheetView>
  </sheetViews>
  <sheetFormatPr defaultRowHeight="14.5" x14ac:dyDescent="0.35"/>
  <sheetData>
    <row r="1" spans="1:3" x14ac:dyDescent="0.35">
      <c r="A1" t="s">
        <v>15</v>
      </c>
      <c r="B1" t="s">
        <v>16</v>
      </c>
      <c r="C1" t="s">
        <v>17</v>
      </c>
    </row>
    <row r="2" spans="1:3" x14ac:dyDescent="0.35">
      <c r="A2">
        <v>12</v>
      </c>
      <c r="B2" t="s">
        <v>4</v>
      </c>
      <c r="C2" t="s">
        <v>5</v>
      </c>
    </row>
    <row r="3" spans="1:3" x14ac:dyDescent="0.35">
      <c r="A3">
        <v>12</v>
      </c>
      <c r="B3" t="s">
        <v>10</v>
      </c>
      <c r="C3" t="s">
        <v>12</v>
      </c>
    </row>
    <row r="4" spans="1:3" x14ac:dyDescent="0.35">
      <c r="A4">
        <v>12</v>
      </c>
      <c r="B4" t="s">
        <v>11</v>
      </c>
      <c r="C4" t="s">
        <v>7</v>
      </c>
    </row>
    <row r="5" spans="1:3" x14ac:dyDescent="0.35">
      <c r="A5">
        <v>12</v>
      </c>
      <c r="B5" t="s">
        <v>9</v>
      </c>
      <c r="C5" t="s">
        <v>6</v>
      </c>
    </row>
    <row r="6" spans="1:3" x14ac:dyDescent="0.35">
      <c r="A6">
        <v>12</v>
      </c>
      <c r="B6" t="s">
        <v>8</v>
      </c>
      <c r="C6" t="s">
        <v>3</v>
      </c>
    </row>
    <row r="7" spans="1:3" x14ac:dyDescent="0.35">
      <c r="A7">
        <v>12</v>
      </c>
      <c r="B7" t="s">
        <v>1</v>
      </c>
      <c r="C7" t="s">
        <v>2</v>
      </c>
    </row>
    <row r="8" spans="1:3" x14ac:dyDescent="0.35">
      <c r="A8">
        <v>13</v>
      </c>
      <c r="B8" t="s">
        <v>5</v>
      </c>
      <c r="C8" t="s">
        <v>12</v>
      </c>
    </row>
    <row r="9" spans="1:3" x14ac:dyDescent="0.35">
      <c r="A9">
        <v>13</v>
      </c>
      <c r="B9" t="s">
        <v>4</v>
      </c>
      <c r="C9" t="s">
        <v>2</v>
      </c>
    </row>
    <row r="10" spans="1:3" x14ac:dyDescent="0.35">
      <c r="A10">
        <v>13</v>
      </c>
      <c r="B10" t="s">
        <v>8</v>
      </c>
      <c r="C10" t="s">
        <v>11</v>
      </c>
    </row>
    <row r="11" spans="1:3" x14ac:dyDescent="0.35">
      <c r="A11">
        <v>13</v>
      </c>
      <c r="B11" t="s">
        <v>3</v>
      </c>
      <c r="C11" t="s">
        <v>10</v>
      </c>
    </row>
    <row r="12" spans="1:3" x14ac:dyDescent="0.35">
      <c r="A12">
        <v>13</v>
      </c>
      <c r="B12" t="s">
        <v>9</v>
      </c>
      <c r="C12" t="s">
        <v>7</v>
      </c>
    </row>
    <row r="13" spans="1:3" x14ac:dyDescent="0.35">
      <c r="A13">
        <v>13</v>
      </c>
      <c r="B13" t="s">
        <v>1</v>
      </c>
      <c r="C13" t="s">
        <v>6</v>
      </c>
    </row>
    <row r="14" spans="1:3" x14ac:dyDescent="0.35">
      <c r="A14">
        <v>14</v>
      </c>
      <c r="B14" t="s">
        <v>5</v>
      </c>
      <c r="C14" t="s">
        <v>1</v>
      </c>
    </row>
    <row r="15" spans="1:3" x14ac:dyDescent="0.35">
      <c r="A15">
        <v>14</v>
      </c>
      <c r="B15" t="s">
        <v>6</v>
      </c>
      <c r="C15" t="s">
        <v>4</v>
      </c>
    </row>
    <row r="16" spans="1:3" x14ac:dyDescent="0.35">
      <c r="A16">
        <v>14</v>
      </c>
      <c r="B16" t="s">
        <v>3</v>
      </c>
      <c r="C16" t="s">
        <v>7</v>
      </c>
    </row>
    <row r="17" spans="1:3" x14ac:dyDescent="0.35">
      <c r="A17">
        <v>14</v>
      </c>
      <c r="B17" t="s">
        <v>10</v>
      </c>
      <c r="C17" t="s">
        <v>11</v>
      </c>
    </row>
    <row r="18" spans="1:3" x14ac:dyDescent="0.35">
      <c r="A18">
        <v>14</v>
      </c>
      <c r="B18" t="s">
        <v>12</v>
      </c>
      <c r="C18" t="s">
        <v>9</v>
      </c>
    </row>
    <row r="19" spans="1:3" x14ac:dyDescent="0.35">
      <c r="A19">
        <v>14</v>
      </c>
      <c r="B19" t="s">
        <v>2</v>
      </c>
      <c r="C19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8282-1986-474B-A23B-31B29600C102}">
  <dimension ref="A1:A133"/>
  <sheetViews>
    <sheetView topLeftCell="A104" workbookViewId="0">
      <selection activeCell="H130" sqref="H130"/>
    </sheetView>
  </sheetViews>
  <sheetFormatPr defaultRowHeight="14.5" x14ac:dyDescent="0.35"/>
  <sheetData>
    <row r="1" spans="1:1" x14ac:dyDescent="0.35">
      <c r="A1" t="s">
        <v>18</v>
      </c>
    </row>
    <row r="2" spans="1:1" x14ac:dyDescent="0.35">
      <c r="A2">
        <v>90.24</v>
      </c>
    </row>
    <row r="3" spans="1:1" x14ac:dyDescent="0.35">
      <c r="A3">
        <v>114.02</v>
      </c>
    </row>
    <row r="4" spans="1:1" x14ac:dyDescent="0.35">
      <c r="A4">
        <v>86.02</v>
      </c>
    </row>
    <row r="5" spans="1:1" x14ac:dyDescent="0.35">
      <c r="A5">
        <v>92.88</v>
      </c>
    </row>
    <row r="6" spans="1:1" x14ac:dyDescent="0.35">
      <c r="A6">
        <v>134.08000000000001</v>
      </c>
    </row>
    <row r="7" spans="1:1" x14ac:dyDescent="0.35">
      <c r="A7">
        <v>142.36000000000001</v>
      </c>
    </row>
    <row r="8" spans="1:1" x14ac:dyDescent="0.35">
      <c r="A8">
        <v>105.28</v>
      </c>
    </row>
    <row r="9" spans="1:1" x14ac:dyDescent="0.35">
      <c r="A9">
        <v>152.72</v>
      </c>
    </row>
    <row r="10" spans="1:1" x14ac:dyDescent="0.35">
      <c r="A10">
        <v>135.12</v>
      </c>
    </row>
    <row r="11" spans="1:1" x14ac:dyDescent="0.35">
      <c r="A11">
        <v>114.32</v>
      </c>
    </row>
    <row r="12" spans="1:1" x14ac:dyDescent="0.35">
      <c r="A12">
        <v>150.96</v>
      </c>
    </row>
    <row r="13" spans="1:1" x14ac:dyDescent="0.35">
      <c r="A13">
        <v>115.62</v>
      </c>
    </row>
    <row r="14" spans="1:1" x14ac:dyDescent="0.35">
      <c r="A14">
        <v>134.58000000000001</v>
      </c>
    </row>
    <row r="15" spans="1:1" x14ac:dyDescent="0.35">
      <c r="A15">
        <v>95.92</v>
      </c>
    </row>
    <row r="16" spans="1:1" x14ac:dyDescent="0.35">
      <c r="A16">
        <v>95.24</v>
      </c>
    </row>
    <row r="17" spans="1:1" x14ac:dyDescent="0.35">
      <c r="A17">
        <v>94.9</v>
      </c>
    </row>
    <row r="18" spans="1:1" x14ac:dyDescent="0.35">
      <c r="A18">
        <v>124.88</v>
      </c>
    </row>
    <row r="19" spans="1:1" x14ac:dyDescent="0.35">
      <c r="A19">
        <v>117.2</v>
      </c>
    </row>
    <row r="20" spans="1:1" x14ac:dyDescent="0.35">
      <c r="A20">
        <v>210.94</v>
      </c>
    </row>
    <row r="21" spans="1:1" x14ac:dyDescent="0.35">
      <c r="A21">
        <v>134.4</v>
      </c>
    </row>
    <row r="22" spans="1:1" x14ac:dyDescent="0.35">
      <c r="A22">
        <v>121.04</v>
      </c>
    </row>
    <row r="23" spans="1:1" x14ac:dyDescent="0.35">
      <c r="A23">
        <v>133.78</v>
      </c>
    </row>
    <row r="24" spans="1:1" x14ac:dyDescent="0.35">
      <c r="A24">
        <v>134.30000000000001</v>
      </c>
    </row>
    <row r="25" spans="1:1" x14ac:dyDescent="0.35">
      <c r="A25">
        <v>134.78</v>
      </c>
    </row>
    <row r="26" spans="1:1" x14ac:dyDescent="0.35">
      <c r="A26">
        <v>100.12</v>
      </c>
    </row>
    <row r="27" spans="1:1" x14ac:dyDescent="0.35">
      <c r="A27">
        <v>126</v>
      </c>
    </row>
    <row r="28" spans="1:1" x14ac:dyDescent="0.35">
      <c r="A28">
        <v>125.08</v>
      </c>
    </row>
    <row r="29" spans="1:1" x14ac:dyDescent="0.35">
      <c r="A29">
        <v>128.24</v>
      </c>
    </row>
    <row r="30" spans="1:1" x14ac:dyDescent="0.35">
      <c r="A30">
        <v>107.66</v>
      </c>
    </row>
    <row r="31" spans="1:1" x14ac:dyDescent="0.35">
      <c r="A31">
        <v>160.02000000000001</v>
      </c>
    </row>
    <row r="32" spans="1:1" x14ac:dyDescent="0.35">
      <c r="A32">
        <v>148.02000000000001</v>
      </c>
    </row>
    <row r="33" spans="1:1" x14ac:dyDescent="0.35">
      <c r="A33">
        <v>144.44</v>
      </c>
    </row>
    <row r="34" spans="1:1" x14ac:dyDescent="0.35">
      <c r="A34">
        <v>95.56</v>
      </c>
    </row>
    <row r="35" spans="1:1" x14ac:dyDescent="0.35">
      <c r="A35">
        <v>113.52</v>
      </c>
    </row>
    <row r="36" spans="1:1" x14ac:dyDescent="0.35">
      <c r="A36">
        <v>142.13999999999999</v>
      </c>
    </row>
    <row r="37" spans="1:1" x14ac:dyDescent="0.35">
      <c r="A37">
        <v>121.32</v>
      </c>
    </row>
    <row r="38" spans="1:1" x14ac:dyDescent="0.35">
      <c r="A38">
        <v>90.32</v>
      </c>
    </row>
    <row r="39" spans="1:1" x14ac:dyDescent="0.35">
      <c r="A39">
        <v>136.96</v>
      </c>
    </row>
    <row r="40" spans="1:1" x14ac:dyDescent="0.35">
      <c r="A40">
        <v>148.4</v>
      </c>
    </row>
    <row r="41" spans="1:1" x14ac:dyDescent="0.35">
      <c r="A41">
        <v>180.04</v>
      </c>
    </row>
    <row r="42" spans="1:1" x14ac:dyDescent="0.35">
      <c r="A42">
        <v>140.12</v>
      </c>
    </row>
    <row r="43" spans="1:1" x14ac:dyDescent="0.35">
      <c r="A43">
        <v>160.58000000000001</v>
      </c>
    </row>
    <row r="44" spans="1:1" x14ac:dyDescent="0.35">
      <c r="A44">
        <v>134.28</v>
      </c>
    </row>
    <row r="45" spans="1:1" x14ac:dyDescent="0.35">
      <c r="A45">
        <v>109.08</v>
      </c>
    </row>
    <row r="46" spans="1:1" x14ac:dyDescent="0.35">
      <c r="A46">
        <v>150.18</v>
      </c>
    </row>
    <row r="47" spans="1:1" x14ac:dyDescent="0.35">
      <c r="A47">
        <v>119</v>
      </c>
    </row>
    <row r="48" spans="1:1" x14ac:dyDescent="0.35">
      <c r="A48">
        <v>135.88</v>
      </c>
    </row>
    <row r="49" spans="1:1" x14ac:dyDescent="0.35">
      <c r="A49">
        <v>93.9</v>
      </c>
    </row>
    <row r="50" spans="1:1" x14ac:dyDescent="0.35">
      <c r="A50">
        <v>124.72</v>
      </c>
    </row>
    <row r="51" spans="1:1" x14ac:dyDescent="0.35">
      <c r="A51">
        <v>116.5</v>
      </c>
    </row>
    <row r="52" spans="1:1" x14ac:dyDescent="0.35">
      <c r="A52">
        <v>98.82</v>
      </c>
    </row>
    <row r="53" spans="1:1" x14ac:dyDescent="0.35">
      <c r="A53">
        <v>138.12</v>
      </c>
    </row>
    <row r="54" spans="1:1" x14ac:dyDescent="0.35">
      <c r="A54">
        <v>123.24</v>
      </c>
    </row>
    <row r="55" spans="1:1" x14ac:dyDescent="0.35">
      <c r="A55">
        <v>133.02000000000001</v>
      </c>
    </row>
    <row r="56" spans="1:1" x14ac:dyDescent="0.35">
      <c r="A56">
        <v>130.22</v>
      </c>
    </row>
    <row r="57" spans="1:1" x14ac:dyDescent="0.35">
      <c r="A57">
        <v>151.72</v>
      </c>
    </row>
    <row r="58" spans="1:1" x14ac:dyDescent="0.35">
      <c r="A58">
        <v>133.66</v>
      </c>
    </row>
    <row r="59" spans="1:1" x14ac:dyDescent="0.35">
      <c r="A59">
        <v>117.18</v>
      </c>
    </row>
    <row r="60" spans="1:1" x14ac:dyDescent="0.35">
      <c r="A60">
        <v>155.63999999999999</v>
      </c>
    </row>
    <row r="61" spans="1:1" x14ac:dyDescent="0.35">
      <c r="A61">
        <v>164.08</v>
      </c>
    </row>
    <row r="62" spans="1:1" x14ac:dyDescent="0.35">
      <c r="A62">
        <v>140.97999999999999</v>
      </c>
    </row>
    <row r="63" spans="1:1" x14ac:dyDescent="0.35">
      <c r="A63">
        <v>153.22</v>
      </c>
    </row>
    <row r="64" spans="1:1" x14ac:dyDescent="0.35">
      <c r="A64">
        <v>124.36</v>
      </c>
    </row>
    <row r="65" spans="1:1" x14ac:dyDescent="0.35">
      <c r="A65">
        <v>128.94</v>
      </c>
    </row>
    <row r="66" spans="1:1" x14ac:dyDescent="0.35">
      <c r="A66">
        <v>80.819999999999993</v>
      </c>
    </row>
    <row r="67" spans="1:1" x14ac:dyDescent="0.35">
      <c r="A67">
        <v>134.66</v>
      </c>
    </row>
    <row r="68" spans="1:1" x14ac:dyDescent="0.35">
      <c r="A68">
        <v>108.5</v>
      </c>
    </row>
    <row r="69" spans="1:1" x14ac:dyDescent="0.35">
      <c r="A69">
        <v>108.88</v>
      </c>
    </row>
    <row r="70" spans="1:1" x14ac:dyDescent="0.35">
      <c r="A70">
        <v>129.4</v>
      </c>
    </row>
    <row r="71" spans="1:1" x14ac:dyDescent="0.35">
      <c r="A71">
        <v>100.44</v>
      </c>
    </row>
    <row r="72" spans="1:1" x14ac:dyDescent="0.35">
      <c r="A72">
        <v>123.48</v>
      </c>
    </row>
    <row r="73" spans="1:1" x14ac:dyDescent="0.35">
      <c r="A73">
        <v>168.14</v>
      </c>
    </row>
    <row r="74" spans="1:1" x14ac:dyDescent="0.35">
      <c r="A74">
        <v>145.54</v>
      </c>
    </row>
    <row r="75" spans="1:1" x14ac:dyDescent="0.35">
      <c r="A75">
        <v>149.34</v>
      </c>
    </row>
    <row r="76" spans="1:1" x14ac:dyDescent="0.35">
      <c r="A76">
        <v>143.34</v>
      </c>
    </row>
    <row r="77" spans="1:1" x14ac:dyDescent="0.35">
      <c r="A77">
        <v>163.96</v>
      </c>
    </row>
    <row r="78" spans="1:1" x14ac:dyDescent="0.35">
      <c r="A78">
        <v>142.94</v>
      </c>
    </row>
    <row r="79" spans="1:1" x14ac:dyDescent="0.35">
      <c r="A79">
        <v>115.74</v>
      </c>
    </row>
    <row r="80" spans="1:1" x14ac:dyDescent="0.35">
      <c r="A80">
        <v>100.22</v>
      </c>
    </row>
    <row r="81" spans="1:1" x14ac:dyDescent="0.35">
      <c r="A81">
        <v>113.68</v>
      </c>
    </row>
    <row r="82" spans="1:1" x14ac:dyDescent="0.35">
      <c r="A82">
        <v>133.84</v>
      </c>
    </row>
    <row r="83" spans="1:1" x14ac:dyDescent="0.35">
      <c r="A83">
        <v>174.98</v>
      </c>
    </row>
    <row r="84" spans="1:1" x14ac:dyDescent="0.35">
      <c r="A84">
        <v>126.9</v>
      </c>
    </row>
    <row r="85" spans="1:1" x14ac:dyDescent="0.35">
      <c r="A85">
        <v>92.52</v>
      </c>
    </row>
    <row r="86" spans="1:1" x14ac:dyDescent="0.35">
      <c r="A86">
        <v>98.8</v>
      </c>
    </row>
    <row r="87" spans="1:1" x14ac:dyDescent="0.35">
      <c r="A87">
        <v>153.66</v>
      </c>
    </row>
    <row r="88" spans="1:1" x14ac:dyDescent="0.35">
      <c r="A88">
        <v>174.58</v>
      </c>
    </row>
    <row r="89" spans="1:1" x14ac:dyDescent="0.35">
      <c r="A89">
        <v>117.32</v>
      </c>
    </row>
    <row r="90" spans="1:1" x14ac:dyDescent="0.35">
      <c r="A90">
        <v>152.66</v>
      </c>
    </row>
    <row r="91" spans="1:1" x14ac:dyDescent="0.35">
      <c r="A91">
        <v>115.66</v>
      </c>
    </row>
    <row r="92" spans="1:1" x14ac:dyDescent="0.35">
      <c r="A92">
        <v>117.52</v>
      </c>
    </row>
    <row r="93" spans="1:1" x14ac:dyDescent="0.35">
      <c r="A93">
        <v>112.52</v>
      </c>
    </row>
    <row r="94" spans="1:1" x14ac:dyDescent="0.35">
      <c r="A94">
        <v>119.12</v>
      </c>
    </row>
    <row r="95" spans="1:1" x14ac:dyDescent="0.35">
      <c r="A95">
        <v>149.06</v>
      </c>
    </row>
    <row r="96" spans="1:1" x14ac:dyDescent="0.35">
      <c r="A96">
        <v>137.78</v>
      </c>
    </row>
    <row r="97" spans="1:1" x14ac:dyDescent="0.35">
      <c r="A97">
        <v>134.28</v>
      </c>
    </row>
    <row r="98" spans="1:1" x14ac:dyDescent="0.35">
      <c r="A98">
        <v>104.36</v>
      </c>
    </row>
    <row r="99" spans="1:1" x14ac:dyDescent="0.35">
      <c r="A99">
        <v>81.22</v>
      </c>
    </row>
    <row r="100" spans="1:1" x14ac:dyDescent="0.35">
      <c r="A100">
        <v>127.42</v>
      </c>
    </row>
    <row r="101" spans="1:1" x14ac:dyDescent="0.35">
      <c r="A101">
        <v>161.69999999999999</v>
      </c>
    </row>
    <row r="102" spans="1:1" x14ac:dyDescent="0.35">
      <c r="A102">
        <v>124.44</v>
      </c>
    </row>
    <row r="103" spans="1:1" x14ac:dyDescent="0.35">
      <c r="A103">
        <v>136.74</v>
      </c>
    </row>
    <row r="104" spans="1:1" x14ac:dyDescent="0.35">
      <c r="A104">
        <v>149.5</v>
      </c>
    </row>
    <row r="105" spans="1:1" x14ac:dyDescent="0.35">
      <c r="A105">
        <v>157.30000000000001</v>
      </c>
    </row>
    <row r="106" spans="1:1" x14ac:dyDescent="0.35">
      <c r="A106">
        <v>172.92</v>
      </c>
    </row>
    <row r="107" spans="1:1" x14ac:dyDescent="0.35">
      <c r="A107">
        <v>99.38</v>
      </c>
    </row>
    <row r="108" spans="1:1" x14ac:dyDescent="0.35">
      <c r="A108">
        <v>121.4</v>
      </c>
    </row>
    <row r="109" spans="1:1" x14ac:dyDescent="0.35">
      <c r="A109">
        <v>144.44</v>
      </c>
    </row>
    <row r="110" spans="1:1" x14ac:dyDescent="0.35">
      <c r="A110">
        <v>109.32</v>
      </c>
    </row>
    <row r="111" spans="1:1" x14ac:dyDescent="0.35">
      <c r="A111">
        <v>108.84</v>
      </c>
    </row>
    <row r="112" spans="1:1" x14ac:dyDescent="0.35">
      <c r="A112">
        <v>137.19999999999999</v>
      </c>
    </row>
    <row r="113" spans="1:1" x14ac:dyDescent="0.35">
      <c r="A113">
        <v>129.5</v>
      </c>
    </row>
    <row r="114" spans="1:1" x14ac:dyDescent="0.35">
      <c r="A114">
        <v>106.18</v>
      </c>
    </row>
    <row r="115" spans="1:1" x14ac:dyDescent="0.35">
      <c r="A115">
        <v>140</v>
      </c>
    </row>
    <row r="116" spans="1:1" x14ac:dyDescent="0.35">
      <c r="A116">
        <v>171.8</v>
      </c>
    </row>
    <row r="117" spans="1:1" x14ac:dyDescent="0.35">
      <c r="A117">
        <v>90.26</v>
      </c>
    </row>
    <row r="118" spans="1:1" x14ac:dyDescent="0.35">
      <c r="A118">
        <v>161.6</v>
      </c>
    </row>
    <row r="119" spans="1:1" x14ac:dyDescent="0.35">
      <c r="A119">
        <v>120.12</v>
      </c>
    </row>
    <row r="120" spans="1:1" x14ac:dyDescent="0.35">
      <c r="A120">
        <v>95.64</v>
      </c>
    </row>
    <row r="121" spans="1:1" x14ac:dyDescent="0.35">
      <c r="A121">
        <v>176.2</v>
      </c>
    </row>
    <row r="122" spans="1:1" x14ac:dyDescent="0.35">
      <c r="A122">
        <v>82</v>
      </c>
    </row>
    <row r="123" spans="1:1" x14ac:dyDescent="0.35">
      <c r="A123">
        <v>105.02</v>
      </c>
    </row>
    <row r="124" spans="1:1" x14ac:dyDescent="0.35">
      <c r="A124">
        <v>129.6</v>
      </c>
    </row>
    <row r="125" spans="1:1" x14ac:dyDescent="0.35">
      <c r="A125">
        <v>147.72</v>
      </c>
    </row>
    <row r="126" spans="1:1" x14ac:dyDescent="0.35">
      <c r="A126">
        <v>128.78</v>
      </c>
    </row>
    <row r="127" spans="1:1" x14ac:dyDescent="0.35">
      <c r="A127">
        <v>167.18</v>
      </c>
    </row>
    <row r="128" spans="1:1" x14ac:dyDescent="0.35">
      <c r="A128">
        <v>126.54</v>
      </c>
    </row>
    <row r="129" spans="1:1" x14ac:dyDescent="0.35">
      <c r="A129">
        <v>82.52</v>
      </c>
    </row>
    <row r="130" spans="1:1" x14ac:dyDescent="0.35">
      <c r="A130">
        <v>115.44</v>
      </c>
    </row>
    <row r="131" spans="1:1" x14ac:dyDescent="0.35">
      <c r="A131">
        <v>114.94</v>
      </c>
    </row>
    <row r="132" spans="1:1" x14ac:dyDescent="0.35">
      <c r="A132">
        <v>126.46</v>
      </c>
    </row>
    <row r="133" spans="1:1" x14ac:dyDescent="0.35">
      <c r="A133">
        <v>122.04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Stats</vt:lpstr>
      <vt:lpstr>Schedule</vt:lpstr>
      <vt:lpstr>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Castagliuolo</dc:creator>
  <cp:lastModifiedBy>Franco Castagliuolo</cp:lastModifiedBy>
  <dcterms:created xsi:type="dcterms:W3CDTF">2025-10-21T18:15:47Z</dcterms:created>
  <dcterms:modified xsi:type="dcterms:W3CDTF">2025-11-18T19:36:54Z</dcterms:modified>
</cp:coreProperties>
</file>